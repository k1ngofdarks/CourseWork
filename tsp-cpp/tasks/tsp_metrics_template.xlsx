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P metrics" sheetId="1" state="visible" r:id="rId1"/>
    <sheet xmlns:r="http://schemas.openxmlformats.org/officeDocument/2006/relationships" name="MDMTSP metric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4" borderId="1" pivotButton="0" quotePrefix="0" xfId="0"/>
    <xf numFmtId="10" fontId="0" fillId="5" borderId="1" pivotButton="0" quotePrefix="0" xfId="0"/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Algorithm</t>
        </is>
      </c>
      <c r="B1" s="1" t="inlineStr">
        <is>
          <t>task_001</t>
        </is>
      </c>
      <c r="C1" s="2" t="n"/>
      <c r="D1" s="1" t="inlineStr">
        <is>
          <t>task_002</t>
        </is>
      </c>
      <c r="E1" s="2" t="n"/>
      <c r="F1" s="1" t="inlineStr">
        <is>
          <t>task_003</t>
        </is>
      </c>
      <c r="G1" s="2" t="n"/>
      <c r="H1" s="1" t="inlineStr">
        <is>
          <t>pr299</t>
        </is>
      </c>
      <c r="I1" s="2" t="n"/>
      <c r="J1" s="1" t="inlineStr">
        <is>
          <t>pcb3038</t>
        </is>
      </c>
      <c r="K1" s="2" t="n"/>
    </row>
    <row r="2" ht="22" customHeight="1">
      <c r="B2" s="3" t="inlineStr">
        <is>
          <t>answer</t>
        </is>
      </c>
      <c r="C2" s="3" t="inlineStr">
        <is>
          <t>% of max</t>
        </is>
      </c>
      <c r="D2" s="3" t="inlineStr">
        <is>
          <t>answer</t>
        </is>
      </c>
      <c r="E2" s="3" t="inlineStr">
        <is>
          <t>% of max</t>
        </is>
      </c>
      <c r="F2" s="3" t="inlineStr">
        <is>
          <t>answer</t>
        </is>
      </c>
      <c r="G2" s="3" t="inlineStr">
        <is>
          <t>% of max</t>
        </is>
      </c>
      <c r="H2" s="3" t="inlineStr">
        <is>
          <t>answer</t>
        </is>
      </c>
      <c r="I2" s="3" t="inlineStr">
        <is>
          <t>% of max</t>
        </is>
      </c>
      <c r="J2" s="3" t="inlineStr">
        <is>
          <t>answer</t>
        </is>
      </c>
      <c r="K2" s="3" t="inlineStr">
        <is>
          <t>% of max</t>
        </is>
      </c>
    </row>
    <row r="3">
      <c r="A3" s="4" t="inlineStr">
        <is>
          <t>nearest</t>
        </is>
      </c>
      <c r="B3" s="5" t="n"/>
      <c r="C3" s="6">
        <f>IF(B3="","",IF(MAX($B$3:$B$8)=0,"",B3/MAX($B$3:$B$8)))</f>
        <v/>
      </c>
      <c r="D3" s="5" t="n"/>
      <c r="E3" s="6">
        <f>IF(D3="","",IF(MAX($D$3:$D$8)=0,"",D3/MAX($D$3:$D$8)))</f>
        <v/>
      </c>
      <c r="F3" s="5" t="n"/>
      <c r="G3" s="6">
        <f>IF(F3="","",IF(MAX($F$3:$F$8)=0,"",F3/MAX($F$3:$F$8)))</f>
        <v/>
      </c>
      <c r="H3" s="5" t="n"/>
      <c r="I3" s="6">
        <f>IF(H3="","",IF(MAX($H$3:$H$8)=0,"",H3/MAX($H$3:$H$8)))</f>
        <v/>
      </c>
      <c r="J3" s="5" t="n"/>
      <c r="K3" s="6">
        <f>IF(J3="","",IF(MAX($J$3:$J$8)=0,"",J3/MAX($J$3:$J$8)))</f>
        <v/>
      </c>
    </row>
    <row r="4">
      <c r="A4" s="4" t="inlineStr">
        <is>
          <t>2-opt</t>
        </is>
      </c>
      <c r="B4" s="5" t="n"/>
      <c r="C4" s="6">
        <f>IF(B4="","",IF(MAX($B$3:$B$8)=0,"",B4/MAX($B$3:$B$8)))</f>
        <v/>
      </c>
      <c r="D4" s="5" t="n"/>
      <c r="E4" s="6">
        <f>IF(D4="","",IF(MAX($D$3:$D$8)=0,"",D4/MAX($D$3:$D$8)))</f>
        <v/>
      </c>
      <c r="F4" s="5" t="n"/>
      <c r="G4" s="6">
        <f>IF(F4="","",IF(MAX($F$3:$F$8)=0,"",F4/MAX($F$3:$F$8)))</f>
        <v/>
      </c>
      <c r="H4" s="5" t="n"/>
      <c r="I4" s="6">
        <f>IF(H4="","",IF(MAX($H$3:$H$8)=0,"",H4/MAX($H$3:$H$8)))</f>
        <v/>
      </c>
      <c r="J4" s="5" t="n"/>
      <c r="K4" s="6">
        <f>IF(J4="","",IF(MAX($J$3:$J$8)=0,"",J4/MAX($J$3:$J$8)))</f>
        <v/>
      </c>
    </row>
    <row r="5">
      <c r="A5" s="4" t="inlineStr">
        <is>
          <t>ils</t>
        </is>
      </c>
      <c r="B5" s="5" t="n"/>
      <c r="C5" s="6">
        <f>IF(B5="","",IF(MAX($B$3:$B$8)=0,"",B5/MAX($B$3:$B$8)))</f>
        <v/>
      </c>
      <c r="D5" s="5" t="n"/>
      <c r="E5" s="6">
        <f>IF(D5="","",IF(MAX($D$3:$D$8)=0,"",D5/MAX($D$3:$D$8)))</f>
        <v/>
      </c>
      <c r="F5" s="5" t="n"/>
      <c r="G5" s="6">
        <f>IF(F5="","",IF(MAX($F$3:$F$8)=0,"",F5/MAX($F$3:$F$8)))</f>
        <v/>
      </c>
      <c r="H5" s="5" t="n"/>
      <c r="I5" s="6">
        <f>IF(H5="","",IF(MAX($H$3:$H$8)=0,"",H5/MAX($H$3:$H$8)))</f>
        <v/>
      </c>
      <c r="J5" s="5" t="n"/>
      <c r="K5" s="6">
        <f>IF(J5="","",IF(MAX($J$3:$J$8)=0,"",J5/MAX($J$3:$J$8)))</f>
        <v/>
      </c>
    </row>
    <row r="6">
      <c r="A6" s="4" t="inlineStr">
        <is>
          <t>gls</t>
        </is>
      </c>
      <c r="B6" s="5" t="n"/>
      <c r="C6" s="6">
        <f>IF(B6="","",IF(MAX($B$3:$B$8)=0,"",B6/MAX($B$3:$B$8)))</f>
        <v/>
      </c>
      <c r="D6" s="5" t="n"/>
      <c r="E6" s="6">
        <f>IF(D6="","",IF(MAX($D$3:$D$8)=0,"",D6/MAX($D$3:$D$8)))</f>
        <v/>
      </c>
      <c r="F6" s="5" t="n"/>
      <c r="G6" s="6">
        <f>IF(F6="","",IF(MAX($F$3:$F$8)=0,"",F6/MAX($F$3:$F$8)))</f>
        <v/>
      </c>
      <c r="H6" s="5" t="n"/>
      <c r="I6" s="6">
        <f>IF(H6="","",IF(MAX($H$3:$H$8)=0,"",H6/MAX($H$3:$H$8)))</f>
        <v/>
      </c>
      <c r="J6" s="5" t="n"/>
      <c r="K6" s="6">
        <f>IF(J6="","",IF(MAX($J$3:$J$8)=0,"",J6/MAX($J$3:$J$8)))</f>
        <v/>
      </c>
    </row>
    <row r="7">
      <c r="A7" s="4" t="inlineStr">
        <is>
          <t>lkh</t>
        </is>
      </c>
      <c r="B7" s="5" t="n"/>
      <c r="C7" s="6">
        <f>IF(B7="","",IF(MAX($B$3:$B$8)=0,"",B7/MAX($B$3:$B$8)))</f>
        <v/>
      </c>
      <c r="D7" s="5" t="n"/>
      <c r="E7" s="6">
        <f>IF(D7="","",IF(MAX($D$3:$D$8)=0,"",D7/MAX($D$3:$D$8)))</f>
        <v/>
      </c>
      <c r="F7" s="5" t="n"/>
      <c r="G7" s="6">
        <f>IF(F7="","",IF(MAX($F$3:$F$8)=0,"",F7/MAX($F$3:$F$8)))</f>
        <v/>
      </c>
      <c r="H7" s="5" t="n"/>
      <c r="I7" s="6">
        <f>IF(H7="","",IF(MAX($H$3:$H$8)=0,"",H7/MAX($H$3:$H$8)))</f>
        <v/>
      </c>
      <c r="J7" s="5" t="n"/>
      <c r="K7" s="6">
        <f>IF(J7="","",IF(MAX($J$3:$J$8)=0,"",J7/MAX($J$3:$J$8)))</f>
        <v/>
      </c>
    </row>
    <row r="8">
      <c r="A8" s="4" t="inlineStr">
        <is>
          <t>heldkarp</t>
        </is>
      </c>
      <c r="B8" s="5" t="n"/>
      <c r="C8" s="6">
        <f>IF(B8="","",IF(MAX($B$3:$B$8)=0,"",B8/MAX($B$3:$B$8)))</f>
        <v/>
      </c>
      <c r="D8" s="5" t="n"/>
      <c r="E8" s="6">
        <f>IF(D8="","",IF(MAX($D$3:$D$8)=0,"",D8/MAX($D$3:$D$8)))</f>
        <v/>
      </c>
      <c r="F8" s="5" t="n"/>
      <c r="G8" s="6">
        <f>IF(F8="","",IF(MAX($F$3:$F$8)=0,"",F8/MAX($F$3:$F$8)))</f>
        <v/>
      </c>
      <c r="H8" s="5" t="n"/>
      <c r="I8" s="6">
        <f>IF(H8="","",IF(MAX($H$3:$H$8)=0,"",H8/MAX($H$3:$H$8)))</f>
        <v/>
      </c>
      <c r="J8" s="5" t="n"/>
      <c r="K8" s="6">
        <f>IF(J8="","",IF(MAX($J$3:$J$8)=0,"",J8/MAX($J$3:$J$8)))</f>
        <v/>
      </c>
    </row>
    <row r="9">
      <c r="A9" s="7" t="inlineStr">
        <is>
          <t>MAX</t>
        </is>
      </c>
      <c r="B9" s="8">
        <f>IF(COUNT(B3:B8)=0,"",MAX(B3:B8))</f>
        <v/>
      </c>
      <c r="C9" s="9">
        <f>IF(B9="","",1)</f>
        <v/>
      </c>
      <c r="D9" s="8">
        <f>IF(COUNT(D3:D8)=0,"",MAX(D3:D8))</f>
        <v/>
      </c>
      <c r="E9" s="9">
        <f>IF(D9="","",1)</f>
        <v/>
      </c>
      <c r="F9" s="8">
        <f>IF(COUNT(F3:F8)=0,"",MAX(F3:F8))</f>
        <v/>
      </c>
      <c r="G9" s="9">
        <f>IF(F9="","",1)</f>
        <v/>
      </c>
      <c r="H9" s="8">
        <f>IF(COUNT(H3:H8)=0,"",MAX(H3:H8))</f>
        <v/>
      </c>
      <c r="I9" s="9">
        <f>IF(H9="","",1)</f>
        <v/>
      </c>
      <c r="J9" s="8">
        <f>IF(COUNT(J3:J8)=0,"",MAX(J3:J8))</f>
        <v/>
      </c>
      <c r="K9" s="9">
        <f>IF(J9="","",1)</f>
        <v/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Algorithm</t>
        </is>
      </c>
      <c r="B1" s="1" t="inlineStr">
        <is>
          <t>example1</t>
        </is>
      </c>
      <c r="C1" s="2" t="n"/>
      <c r="D1" s="1" t="inlineStr">
        <is>
          <t>task_001_5</t>
        </is>
      </c>
      <c r="E1" s="2" t="n"/>
      <c r="F1" s="1" t="inlineStr">
        <is>
          <t>task_random</t>
        </is>
      </c>
      <c r="G1" s="2" t="n"/>
    </row>
    <row r="2" ht="22" customHeight="1">
      <c r="B2" s="3" t="inlineStr">
        <is>
          <t>answer</t>
        </is>
      </c>
      <c r="C2" s="3" t="inlineStr">
        <is>
          <t>% of max</t>
        </is>
      </c>
      <c r="D2" s="3" t="inlineStr">
        <is>
          <t>answer</t>
        </is>
      </c>
      <c r="E2" s="3" t="inlineStr">
        <is>
          <t>% of max</t>
        </is>
      </c>
      <c r="F2" s="3" t="inlineStr">
        <is>
          <t>answer</t>
        </is>
      </c>
      <c r="G2" s="3" t="inlineStr">
        <is>
          <t>% of max</t>
        </is>
      </c>
    </row>
    <row r="3">
      <c r="A3" s="4" t="inlineStr">
        <is>
          <t>random</t>
        </is>
      </c>
      <c r="B3" s="5" t="n"/>
      <c r="C3" s="6">
        <f>IF(B3="","",IF(MAX($B$3:$B$6)=0,"",B3/MAX($B$3:$B$6)))</f>
        <v/>
      </c>
      <c r="D3" s="5" t="n"/>
      <c r="E3" s="6">
        <f>IF(D3="","",IF(MAX($D$3:$D$6)=0,"",D3/MAX($D$3:$D$6)))</f>
        <v/>
      </c>
      <c r="F3" s="5" t="n"/>
      <c r="G3" s="6">
        <f>IF(F3="","",IF(MAX($F$3:$F$6)=0,"",F3/MAX($F$3:$F$6)))</f>
        <v/>
      </c>
    </row>
    <row r="4">
      <c r="A4" s="4" t="inlineStr">
        <is>
          <t>nn</t>
        </is>
      </c>
      <c r="B4" s="5" t="n"/>
      <c r="C4" s="6">
        <f>IF(B4="","",IF(MAX($B$3:$B$6)=0,"",B4/MAX($B$3:$B$6)))</f>
        <v/>
      </c>
      <c r="D4" s="5" t="n"/>
      <c r="E4" s="6">
        <f>IF(D4="","",IF(MAX($D$3:$D$6)=0,"",D4/MAX($D$3:$D$6)))</f>
        <v/>
      </c>
      <c r="F4" s="5" t="n"/>
      <c r="G4" s="6">
        <f>IF(F4="","",IF(MAX($F$3:$F$6)=0,"",F4/MAX($F$3:$F$6)))</f>
        <v/>
      </c>
    </row>
    <row r="5">
      <c r="A5" s="4" t="inlineStr">
        <is>
          <t>two-opt</t>
        </is>
      </c>
      <c r="B5" s="5" t="n"/>
      <c r="C5" s="6">
        <f>IF(B5="","",IF(MAX($B$3:$B$6)=0,"",B5/MAX($B$3:$B$6)))</f>
        <v/>
      </c>
      <c r="D5" s="5" t="n"/>
      <c r="E5" s="6">
        <f>IF(D5="","",IF(MAX($D$3:$D$6)=0,"",D5/MAX($D$3:$D$6)))</f>
        <v/>
      </c>
      <c r="F5" s="5" t="n"/>
      <c r="G5" s="6">
        <f>IF(F5="","",IF(MAX($F$3:$F$6)=0,"",F5/MAX($F$3:$F$6)))</f>
        <v/>
      </c>
    </row>
    <row r="6">
      <c r="A6" s="4" t="inlineStr">
        <is>
          <t>ant</t>
        </is>
      </c>
      <c r="B6" s="5" t="n"/>
      <c r="C6" s="6">
        <f>IF(B6="","",IF(MAX($B$3:$B$6)=0,"",B6/MAX($B$3:$B$6)))</f>
        <v/>
      </c>
      <c r="D6" s="5" t="n"/>
      <c r="E6" s="6">
        <f>IF(D6="","",IF(MAX($D$3:$D$6)=0,"",D6/MAX($D$3:$D$6)))</f>
        <v/>
      </c>
      <c r="F6" s="5" t="n"/>
      <c r="G6" s="6">
        <f>IF(F6="","",IF(MAX($F$3:$F$6)=0,"",F6/MAX($F$3:$F$6)))</f>
        <v/>
      </c>
    </row>
    <row r="7">
      <c r="A7" s="7" t="inlineStr">
        <is>
          <t>MAX</t>
        </is>
      </c>
      <c r="B7" s="8">
        <f>IF(COUNT(B3:B6)=0,"",MAX(B3:B6))</f>
        <v/>
      </c>
      <c r="C7" s="9">
        <f>IF(B7="","",1)</f>
        <v/>
      </c>
      <c r="D7" s="8">
        <f>IF(COUNT(D3:D6)=0,"",MAX(D3:D6))</f>
        <v/>
      </c>
      <c r="E7" s="9">
        <f>IF(D7="","",1)</f>
        <v/>
      </c>
      <c r="F7" s="8">
        <f>IF(COUNT(F3:F6)=0,"",MAX(F3:F6))</f>
        <v/>
      </c>
      <c r="G7" s="9">
        <f>IF(F7="","",1)</f>
        <v/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0" t="inlineStr">
        <is>
          <t>Sheet "TSP metrics": fill only yellow cells.</t>
        </is>
      </c>
    </row>
    <row r="2">
      <c r="A2" t="inlineStr">
        <is>
          <t>Green cells calculate metric / max(metric for the same task).</t>
        </is>
      </c>
    </row>
    <row r="3">
      <c r="A3" t="inlineStr">
        <is>
          <t>Orange row shows the maximum metric for each task.</t>
        </is>
      </c>
    </row>
    <row r="4">
      <c r="A4" t="inlineStr">
        <is>
          <t>Sheet "MDMTSP metrics": use max-route metric values in yellow cells.</t>
        </is>
      </c>
    </row>
    <row r="5">
      <c r="A5" t="inlineStr">
        <is>
          <t>Green cells calculate metric / max(metric for the same task).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2026-03-25T22:41:59Z</dcterms:created>
  <dcterms:modified xmlns:dcterms="http://purl.org/dc/terms/" xmlns:xsi="http://www.w3.org/2001/XMLSchema-instance" xsi:type="dcterms:W3CDTF">2026-03-25T22:41:59Z</dcterms:modified>
</cp:coreProperties>
</file>